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Sheet1" sheetId="1"/>
  </sheets>
  <calcPr calcId="0" iterate="1" iterateCount="1000" iterateDelta="0.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<sst xmlns="http://schemas.openxmlformats.org/spreadsheetml/2006/main" count="17" uniqueCount="17">
  <si>
    <t>Full Name</t>
  </si>
  <si>
    <t>Abbr</t>
  </si>
  <si>
    <t>Multiplier</t>
  </si>
  <si>
    <t>Base</t>
  </si>
  <si>
    <t>Level Mult</t>
  </si>
  <si>
    <t>Level</t>
  </si>
  <si>
    <t>New Base</t>
  </si>
  <si>
    <t>Constitution</t>
  </si>
  <si>
    <t>con</t>
  </si>
  <si>
    <t>Strength</t>
  </si>
  <si>
    <t>str</t>
  </si>
  <si>
    <t>Intelligence</t>
  </si>
  <si>
    <t>int</t>
  </si>
  <si>
    <t>Technique</t>
  </si>
  <si>
    <t>tec</t>
  </si>
  <si>
    <t>Agility</t>
  </si>
  <si>
    <t>agi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</si>
</sst>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b val="0"/>
      <i val="0"/>
      <sz val="11"/>
      <color theme="1"/>
      <name val="Calibri"/>
      <scheme val="minor"/>
    </font>
    <font>
      <b/>
      <i val="0"/>
      <u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</border>
  </borders>
  <cellStyleXfs count="2">
    <xf numFmtId="0" fontId="0" fillId="0" borderId="0">
      <alignment horizontal="general" vertical="top"/>
    </xf>
    <xf numFmtId="0" fontId="0" fillId="0" borderId="0">
      <alignment horizontal="general" vertical="top"/>
    </xf>
  </cellStyleXfs>
  <cellXfs count="5">
    <xf numFmtId="0" fontId="0" fillId="0" borderId="0" xfId="0">
      <alignment vertical="top"/>
    </xf>
    <xf numFmtId="0" fontId="1" fillId="0" borderId="0" xfId="0">
      <alignment vertical="top"/>
    </xf>
    <xf numFmtId="0" fontId="1" fillId="0" borderId="0" xfId="0">
      <alignment vertical="top"/>
    </xf>
    <xf numFmtId="0" fontId="0" fillId="0" borderId="0" xfId="0">
      <alignment vertical="top"/>
    </xf>
    <xf numFmtId="0" fontId="0" fillId="0" borderId="0" xfId="0">
      <alignment vertical="top"/>
    </xf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Relationship Id="rId6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Default">
  <a:themeElements>
    <a:clrScheme name="Defaul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CD09735-8A02-443F-A68F-EFA7E7956C84}" mc:Ignorable="x14ac xr xr2 xr3">
  <dimension ref="A1:T200"/>
  <sheetViews>
    <sheetView topLeftCell="A1" workbookViewId="0" tabSelected="1">
      <selection activeCell="Q3" sqref="Q3"/>
    </sheetView>
  </sheetViews>
  <sheetFormatPr defaultRowHeight="15" defaultColWidth="8.8515625" customHeight="1"/>
  <cols>
    <col min="1" max="1" width="18.00390625" customWidth="1"/>
    <col min="3" max="3" width="11.7109375" customWidth="1"/>
    <col min="5" max="5" width="10.7109375" customWidth="1"/>
  </cols>
  <sheetData>
    <row r="1" ht="15" customHeight="1" s="1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>
        <v>1</v>
      </c>
      <c r="I1" s="2">
        <v>2</v>
      </c>
      <c r="J1" s="2">
        <v>3</v>
      </c>
      <c r="K1" s="2">
        <v>4</v>
      </c>
      <c r="L1" s="2">
        <v>5</v>
      </c>
      <c r="M1" s="2">
        <v>10</v>
      </c>
      <c r="N1" s="2">
        <v>20</v>
      </c>
      <c r="O1" s="2">
        <v>30</v>
      </c>
      <c r="P1" s="2">
        <v>40</v>
      </c>
      <c r="Q1" s="2">
        <v>50</v>
      </c>
      <c r="R1" s="2"/>
    </row>
    <row r="2" ht="15" customHeight="1">
      <c r="A2" s="3" t="s">
        <v>7</v>
      </c>
      <c r="B2" s="3" t="s">
        <v>8</v>
      </c>
      <c r="C2" s="3">
        <v>0.07</v>
      </c>
      <c r="D2" s="3">
        <v>100</v>
      </c>
      <c r="E2" s="3">
        <v>0.03</v>
      </c>
      <c r="F2" s="3">
        <v>100</v>
      </c>
      <c r="G2" s="4">
        <f t="shared" si="0" ref="G2:G3">(D2*(1+E2)^F2)</f>
        <v>1921.86319808563</v>
      </c>
      <c r="H2" s="4">
        <f>G2+G2*(1+(C2*H1))</f>
        <v>3978.25682003725</v>
      </c>
      <c r="I2" s="4">
        <f>G2+G2*(1+(C2*I1))</f>
        <v>4112.78724390325</v>
      </c>
      <c r="J2" s="4">
        <f>G2+G2*(1+(C2*J1))</f>
        <v>4247.31766776924</v>
      </c>
      <c r="K2" s="4">
        <f>G2+G2*(1+(C2*K1))</f>
        <v>4381.84809163524</v>
      </c>
      <c r="L2" s="4">
        <f>G2+G2*(1+(C2*L1))</f>
        <v>4516.37851550123</v>
      </c>
      <c r="M2" s="4">
        <f>G2+G2*(1+(C2*M1))</f>
        <v>5189.0306348312</v>
      </c>
      <c r="N2" s="4">
        <f>G2+G2*(1+(C2*N1))</f>
        <v>6534.33487349114</v>
      </c>
      <c r="O2" s="4">
        <f>G2+G2*(1+(C2*O1))</f>
        <v>7879.63911215108</v>
      </c>
      <c r="P2" s="4">
        <f>G2+G2*(1+(C2*P1))</f>
        <v>9224.94335081103</v>
      </c>
      <c r="Q2" s="4">
        <f>G2+G2*(1+(C2*Q1))</f>
        <v>10570.247589471</v>
      </c>
    </row>
    <row r="3" ht="15" customHeight="1">
      <c r="C3" s="3">
        <v>0.07</v>
      </c>
      <c r="D3" s="3">
        <v>100</v>
      </c>
      <c r="E3" s="3">
        <v>0.03</v>
      </c>
      <c r="F3" s="3">
        <v>10</v>
      </c>
      <c r="G3">
        <f t="shared" si="0"/>
        <v>134.391637934412</v>
      </c>
      <c r="H3" s="4">
        <f>G3+G3*(1+(C3*H1))</f>
        <v>278.190690524233</v>
      </c>
      <c r="I3" s="4">
        <f>G3+G3*(1+(C3*I1))</f>
        <v>287.598105179642</v>
      </c>
      <c r="J3" s="4">
        <f>G3+G3*(1+(C3*J1))</f>
        <v>297.00551983505</v>
      </c>
      <c r="K3" s="4">
        <f>G3+G3*(1+(C3*K1))</f>
        <v>306.412934490459</v>
      </c>
      <c r="L3" s="4">
        <f>G3+G3*(1+(C3*L1))</f>
        <v>315.820349145868</v>
      </c>
      <c r="M3" s="4">
        <f>G3+G3*(1+(C3*M1))</f>
        <v>362.857422422912</v>
      </c>
      <c r="N3" s="4">
        <f>G3+G3*(1+(C3*N1))</f>
        <v>456.931568977001</v>
      </c>
      <c r="O3" s="4">
        <f>G3+G3*(1+(C3*O1))</f>
        <v>551.005715531089</v>
      </c>
      <c r="P3" s="4">
        <f>G3+G3*(1+(C3*P1))</f>
        <v>645.079862085178</v>
      </c>
      <c r="Q3" s="4">
        <f>G3+G3*(1+(C3*Q1))</f>
        <v>739.154008639266</v>
      </c>
    </row>
    <row r="4" ht="15" customHeight="1">
      <c r="A4" s="3" t="s">
        <v>9</v>
      </c>
      <c r="B4" s="3" t="s">
        <v>10</v>
      </c>
      <c r="C4" s="3">
        <v>0.05</v>
      </c>
      <c r="D4" s="3">
        <v>100</v>
      </c>
    </row>
    <row r="5" ht="15" customHeight="1">
      <c r="A5" s="4" t="s">
        <v>11</v>
      </c>
      <c r="B5" s="4" t="s">
        <v>12</v>
      </c>
      <c r="C5" s="4">
        <v>0.05</v>
      </c>
      <c r="D5" s="4">
        <v>100</v>
      </c>
    </row>
    <row r="6" ht="15" customHeight="1">
      <c r="A6" s="4" t="s">
        <v>13</v>
      </c>
      <c r="B6" s="4" t="s">
        <v>14</v>
      </c>
      <c r="C6" s="4">
        <v>0.05</v>
      </c>
      <c r="D6" s="4">
        <v>100</v>
      </c>
    </row>
    <row r="7" ht="15" customHeight="1">
      <c r="A7" s="4" t="s">
        <v>15</v>
      </c>
      <c r="B7" s="4" t="s">
        <v>16</v>
      </c>
      <c r="C7" s="4">
        <v>0.05</v>
      </c>
      <c r="D7" s="4">
        <v>100</v>
      </c>
    </row>
  </sheetData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2026-09-15T01:45:11Z</dcterms:created>
  <dcterms:modified xsi:type="dcterms:W3CDTF">2026-09-15T02:26:14Z</dcterms:modified>
</cp:coreProperties>
</file>