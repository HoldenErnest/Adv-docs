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<sst xmlns="http://schemas.openxmlformats.org/spreadsheetml/2006/main" count="42" uniqueCount="42">
  <si>
    <t>Full Name</t>
  </si>
  <si>
    <t>Abbr</t>
  </si>
  <si>
    <t>Desc</t>
  </si>
  <si>
    <t>Multiplier</t>
  </si>
  <si>
    <t>Base</t>
  </si>
  <si>
    <t>Level Mult</t>
  </si>
  <si>
    <t>Level</t>
  </si>
  <si>
    <t>New Base</t>
  </si>
  <si>
    <t>notes</t>
  </si>
  <si>
    <t>Constitution</t>
  </si>
  <si>
    <t>con</t>
  </si>
  <si>
    <t>max health, scales with level</t>
  </si>
  <si>
    <t>Strength</t>
  </si>
  <si>
    <t>str</t>
  </si>
  <si>
    <t>phys damage</t>
  </si>
  <si>
    <t>str-wgt</t>
  </si>
  <si>
    <t>also helps with carryweight</t>
  </si>
  <si>
    <t>Intelligence</t>
  </si>
  <si>
    <t>int</t>
  </si>
  <si>
    <t>magic damage</t>
  </si>
  <si>
    <t>Technique</t>
  </si>
  <si>
    <t>tec</t>
  </si>
  <si>
    <t>cast speed</t>
  </si>
  <si>
    <t>1/4 cast time</t>
  </si>
  <si>
    <t>Agility</t>
  </si>
  <si>
    <t>agi-eva</t>
  </si>
  <si>
    <t>slightly increases speed and evasion</t>
  </si>
  <si>
    <t>25% evade</t>
  </si>
  <si>
    <t>agi-spd</t>
  </si>
  <si>
    <t>200% speed</t>
  </si>
  <si>
    <t>slightly less cooldown</t>
  </si>
  <si>
    <t>50% cooldown</t>
  </si>
  <si>
    <t>Armor</t>
  </si>
  <si>
    <t>amr</t>
  </si>
  <si>
    <t>resist phys damage</t>
  </si>
  <si>
    <t>"Static" Stats</t>
  </si>
  <si>
    <t>points represent overweight value</t>
  </si>
  <si>
    <t>! overweight speed reduction capped at -90%</t>
  </si>
  <si>
    <t>Weight</t>
  </si>
  <si>
    <t>wgt</t>
  </si>
  <si>
    <t>slows character down if overweight</t>
  </si>
  <si>
    <t>this should scale higher than agility speed. So people should prioritize not being overweight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</si>
</sst>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u/>
      <sz val="11"/>
      <color theme="1"/>
      <name val="Calibri"/>
      <scheme val="minor"/>
    </font>
    <font>
      <b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2">
    <xf numFmtId="0" fontId="0" fillId="0" borderId="0">
      <alignment horizontal="general" vertical="top"/>
    </xf>
    <xf numFmtId="0" fontId="0" fillId="0" borderId="0">
      <alignment horizontal="general" vertical="top"/>
    </xf>
  </cellStyleXfs>
  <cellXfs count="7">
    <xf numFmtId="0" fontId="0" fillId="0" borderId="0" xfId="0">
      <alignment vertical="top"/>
    </xf>
    <xf numFmtId="0" fontId="1" fillId="0" borderId="0" xfId="0">
      <alignment vertical="top"/>
    </xf>
    <xf numFmtId="0" fontId="0" fillId="0" borderId="0" xfId="0">
      <alignment vertical="top"/>
    </xf>
    <xf numFmtId="9" fontId="0" fillId="0" borderId="0" xfId="0">
      <alignment vertical="top"/>
    </xf>
    <xf numFmtId="0" fontId="0" fillId="0" borderId="0" xfId="0">
      <alignment vertical="top"/>
    </xf>
    <xf numFmtId="0" fontId="0" fillId="0" borderId="0" xfId="0">
      <alignment vertical="top"/>
    </xf>
    <xf numFmtId="0" fontId="2" fillId="0" borderId="0" xfId="0">
      <alignment vertical="top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Default">
  <a:themeElements>
    <a:clrScheme name="Default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2580B59-0D80-44FE-B6EE-A7FC43AFB0B8}" mc:Ignorable="x14ac xr xr2 xr3">
  <dimension ref="A1:T200"/>
  <sheetViews>
    <sheetView topLeftCell="A1" workbookViewId="0" tabSelected="1">
      <selection activeCell="G4" sqref="G4"/>
    </sheetView>
  </sheetViews>
  <sheetFormatPr defaultRowHeight="15" defaultColWidth="8.8515625" customHeight="1"/>
  <cols>
    <col min="1" max="1" width="18.00390625" customWidth="1"/>
    <col min="3" max="3" width="16.140625" customWidth="1"/>
    <col min="5" max="5" width="10.7109375" customWidth="1"/>
  </cols>
  <sheetData>
    <row r="1" ht="15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</v>
      </c>
      <c r="J1" s="1">
        <v>2</v>
      </c>
      <c r="K1" s="1">
        <v>3</v>
      </c>
      <c r="L1" s="1">
        <v>10</v>
      </c>
      <c r="M1" s="1">
        <v>20</v>
      </c>
      <c r="N1" s="1">
        <v>30</v>
      </c>
      <c r="O1" s="1">
        <v>50</v>
      </c>
      <c r="P1" s="1">
        <v>100</v>
      </c>
      <c r="Q1" s="1"/>
      <c r="R1" s="1" t="s">
        <v>8</v>
      </c>
    </row>
    <row r="2" ht="15" customHeight="1">
      <c r="A2" s="2" t="s">
        <v>9</v>
      </c>
      <c r="B2" s="2" t="s">
        <v>10</v>
      </c>
      <c r="C2" s="2" t="s">
        <v>11</v>
      </c>
      <c r="D2" s="2">
        <v>0.08</v>
      </c>
      <c r="E2" s="2">
        <v>100</v>
      </c>
      <c r="F2" s="2">
        <v>0.03</v>
      </c>
      <c r="G2" s="2">
        <v>100</v>
      </c>
      <c r="H2" s="2">
        <f t="shared" si="0" ref="H2:H3">(E2*(1+(F2*G2)))</f>
        <v>400</v>
      </c>
      <c r="I2" s="2">
        <f>H2+(I1*(1+(D2*H2)))</f>
        <v>433</v>
      </c>
      <c r="J2" s="2">
        <f>H2+(J1*(1+(D2*H2)))</f>
        <v>466</v>
      </c>
      <c r="K2" s="2">
        <f>H2+(K1*(1+(D2*H2)))</f>
        <v>499</v>
      </c>
      <c r="L2" s="2">
        <f>H2+(L1*(1+(D2*H2)))</f>
        <v>730</v>
      </c>
      <c r="M2" s="2">
        <f>H2+(M1*(1+(D2*H2)))</f>
        <v>1060</v>
      </c>
      <c r="N2" s="2">
        <f>H2+(N1*(1+(D2*H2)))</f>
        <v>1390</v>
      </c>
      <c r="O2" s="2">
        <f>H2+(O1*(1+(D2*H2)))</f>
        <v>2050</v>
      </c>
      <c r="P2" s="2"/>
      <c r="Q2" s="2"/>
    </row>
    <row r="3" ht="15" customHeight="1">
      <c r="D3" s="2">
        <v>0.08</v>
      </c>
      <c r="E3" s="2">
        <v>100</v>
      </c>
      <c r="F3" s="2">
        <v>0.03</v>
      </c>
      <c r="G3" s="2">
        <v>25</v>
      </c>
      <c r="H3" s="2">
        <f t="shared" si="0"/>
        <v>175</v>
      </c>
      <c r="I3" s="2">
        <f>H3+(I1*(1+(D3*H3)))</f>
        <v>190</v>
      </c>
      <c r="J3" s="2">
        <f>H3+(J1*(1+(D3*H3)))</f>
        <v>205</v>
      </c>
      <c r="K3" s="2">
        <f>H3+(K1*(1+(D3*H3)))</f>
        <v>220</v>
      </c>
      <c r="L3" s="2">
        <f>H3+(L1*(1+(D3*H3)))</f>
        <v>325</v>
      </c>
      <c r="M3" s="2">
        <f>H3+(M1*(1+(D3*H3)))</f>
        <v>475</v>
      </c>
      <c r="N3" s="2">
        <f>H3+(N1*(1+(D3*H3)))</f>
        <v>625</v>
      </c>
      <c r="O3" s="2">
        <f>H3+(O1*(1+(D3*H3)))</f>
        <v>925</v>
      </c>
      <c r="P3" s="2"/>
      <c r="Q3" s="2"/>
    </row>
    <row r="4" ht="15" customHeight="1">
      <c r="A4" s="2" t="s">
        <v>12</v>
      </c>
      <c r="B4" s="2" t="s">
        <v>13</v>
      </c>
      <c r="C4" s="2" t="s">
        <v>14</v>
      </c>
      <c r="D4" s="2">
        <v>0.05</v>
      </c>
      <c r="E4" s="2">
        <v>100</v>
      </c>
      <c r="F4" s="2"/>
      <c r="G4" s="2"/>
      <c r="H4" s="2"/>
      <c r="I4" s="2">
        <f>E4+(I1*((D4*E4)))</f>
        <v>105</v>
      </c>
      <c r="J4" s="2">
        <f>E4+(J1*((D4*E4)))</f>
        <v>110</v>
      </c>
      <c r="K4" s="2">
        <v>115</v>
      </c>
      <c r="L4" s="2">
        <v>200</v>
      </c>
      <c r="M4" s="2">
        <v>400</v>
      </c>
      <c r="N4" s="2">
        <v>600</v>
      </c>
      <c r="O4" s="2">
        <v>1000</v>
      </c>
    </row>
    <row r="5" ht="15" customHeight="1">
      <c r="B5" s="2" t="s">
        <v>15</v>
      </c>
      <c r="C5" s="2" t="s">
        <v>16</v>
      </c>
      <c r="D5" s="2">
        <v>2</v>
      </c>
      <c r="I5" s="2">
        <v>-22</v>
      </c>
      <c r="J5" s="2">
        <v>-24</v>
      </c>
      <c r="K5" s="2">
        <v>-26</v>
      </c>
      <c r="L5" s="2">
        <v>-40</v>
      </c>
      <c r="M5" s="2">
        <v>-60</v>
      </c>
      <c r="N5" s="2">
        <v>-80</v>
      </c>
      <c r="O5" s="2">
        <v>-120</v>
      </c>
    </row>
    <row r="6" ht="15" customHeight="1">
      <c r="A6" s="2" t="s">
        <v>17</v>
      </c>
      <c r="B6" s="2" t="s">
        <v>18</v>
      </c>
      <c r="C6" s="2" t="s">
        <v>19</v>
      </c>
      <c r="D6" s="2">
        <v>0.05</v>
      </c>
      <c r="E6" s="2">
        <v>100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ht="15" customHeight="1">
      <c r="A7" s="2" t="s">
        <v>20</v>
      </c>
      <c r="B7" s="2" t="s">
        <v>21</v>
      </c>
      <c r="C7" s="2" t="s">
        <v>22</v>
      </c>
      <c r="D7" s="2">
        <v>0.015</v>
      </c>
      <c r="E7" s="2">
        <v>100</v>
      </c>
      <c r="F7" s="2"/>
      <c r="G7" s="2"/>
      <c r="H7" s="2"/>
      <c r="I7" s="2">
        <v>0.99</v>
      </c>
      <c r="J7" s="2"/>
      <c r="K7" s="2"/>
      <c r="L7" s="2"/>
      <c r="M7" s="3">
        <v>-0.2</v>
      </c>
      <c r="N7" s="2"/>
      <c r="O7" s="2" t="s">
        <v>23</v>
      </c>
    </row>
    <row r="8" ht="15" customHeight="1">
      <c r="A8" s="2" t="s">
        <v>24</v>
      </c>
      <c r="B8" s="2" t="s">
        <v>25</v>
      </c>
      <c r="C8" s="2" t="s">
        <v>26</v>
      </c>
      <c r="D8" s="2">
        <v>0.005</v>
      </c>
      <c r="E8" s="2">
        <v>0</v>
      </c>
      <c r="F8" s="2"/>
      <c r="G8" s="2"/>
      <c r="H8" s="2"/>
      <c r="I8" s="2"/>
      <c r="J8" s="3">
        <v>0.01</v>
      </c>
      <c r="K8" s="2"/>
      <c r="L8" s="3">
        <v>0.05</v>
      </c>
      <c r="M8" s="2"/>
      <c r="N8" s="2"/>
      <c r="O8" s="2" t="s">
        <v>27</v>
      </c>
    </row>
    <row r="9" ht="15" customHeight="1">
      <c r="A9" s="2"/>
      <c r="B9" s="2" t="s">
        <v>28</v>
      </c>
      <c r="C9" s="2"/>
      <c r="D9" s="2">
        <v>0.02</v>
      </c>
      <c r="E9" s="2">
        <v>100</v>
      </c>
      <c r="F9" s="2"/>
      <c r="G9" s="2"/>
      <c r="H9" s="2"/>
      <c r="I9" s="3">
        <v>0.02</v>
      </c>
      <c r="J9" s="2"/>
      <c r="K9" s="2"/>
      <c r="L9" s="3">
        <v>0.2</v>
      </c>
      <c r="M9" s="3">
        <v>0.4</v>
      </c>
      <c r="N9" s="3">
        <v>0.6</v>
      </c>
      <c r="O9" s="2" t="s">
        <v>29</v>
      </c>
    </row>
    <row r="10" ht="15" customHeight="1">
      <c r="A10" s="4" t="s">
        <v>20</v>
      </c>
      <c r="B10" s="4" t="s">
        <v>21</v>
      </c>
      <c r="C10" s="4" t="s">
        <v>30</v>
      </c>
      <c r="D10" s="4">
        <v>-0.01</v>
      </c>
      <c r="E10" s="4">
        <v>100</v>
      </c>
      <c r="I10">
        <f>E10+(I1*((D10*E10)))</f>
        <v>99</v>
      </c>
      <c r="J10" s="4">
        <v>98</v>
      </c>
      <c r="K10" s="4">
        <v>97</v>
      </c>
      <c r="L10" s="4">
        <v>90</v>
      </c>
      <c r="M10" s="4">
        <v>80</v>
      </c>
      <c r="N10" s="4">
        <v>70</v>
      </c>
      <c r="O10" s="4" t="s">
        <v>31</v>
      </c>
    </row>
    <row r="11" ht="15" customHeight="1">
      <c r="A11" s="2" t="s">
        <v>32</v>
      </c>
      <c r="B11" s="4" t="s">
        <v>33</v>
      </c>
      <c r="C11" s="4" t="s">
        <v>34</v>
      </c>
      <c r="D11" s="4">
        <v>100</v>
      </c>
      <c r="E11" s="4"/>
      <c r="F11" s="5"/>
      <c r="G11" s="5"/>
      <c r="H11" s="5"/>
      <c r="I11" s="5">
        <f>(I1/(I1+D11))*100</f>
        <v>0.99009900990099</v>
      </c>
      <c r="J11" s="5">
        <f>(J1/(J1+D11))*100</f>
        <v>1.96078431372549</v>
      </c>
      <c r="K11" s="5">
        <f>(K1/(K1+D11))*100</f>
        <v>2.9126213592233</v>
      </c>
      <c r="L11" s="5">
        <f>(L1/(L1+D11))*100</f>
        <v>9.09090909090909</v>
      </c>
      <c r="M11" s="5">
        <f>(M1/(M1+D11))*100</f>
        <v>16.6666666666667</v>
      </c>
      <c r="N11" s="5">
        <f>(N1/(N1+D11))*100</f>
        <v>23.0769230769231</v>
      </c>
      <c r="O11" s="5">
        <f>(O1/(O1+D11))*100</f>
        <v>33.3333333333333</v>
      </c>
      <c r="P11" s="5">
        <f>(P1/(P1+D11))*100</f>
        <v>50</v>
      </c>
    </row>
    <row r="13" ht="22.5" customHeight="1" s="6" customFormat="1">
      <c r="A13" s="6" t="s">
        <v>35</v>
      </c>
      <c r="B13" s="6"/>
      <c r="C13" s="6"/>
      <c r="D13" s="6"/>
      <c r="E13" s="6"/>
      <c r="F13" s="6"/>
      <c r="G13" s="6"/>
      <c r="H13" s="6"/>
      <c r="I13" s="6" t="s">
        <v>36</v>
      </c>
      <c r="J13" s="6"/>
      <c r="K13" s="6"/>
      <c r="L13" s="6"/>
      <c r="M13" s="6"/>
      <c r="N13" s="6"/>
      <c r="O13" s="6"/>
      <c r="P13" s="6"/>
      <c r="Q13" s="6" t="s">
        <v>37</v>
      </c>
      <c r="R13" s="6"/>
    </row>
    <row r="14" ht="15" customHeight="1">
      <c r="A14" s="2" t="s">
        <v>38</v>
      </c>
      <c r="B14" s="2" t="s">
        <v>39</v>
      </c>
      <c r="C14" s="2" t="s">
        <v>40</v>
      </c>
      <c r="D14" s="2">
        <v>-0.02</v>
      </c>
      <c r="E14" s="2">
        <v>0</v>
      </c>
      <c r="F14" s="2"/>
      <c r="G14" s="2"/>
      <c r="H14" s="2"/>
      <c r="I14" s="3">
        <v>0.02</v>
      </c>
      <c r="J14" s="3">
        <v>0.04</v>
      </c>
      <c r="K14" s="3">
        <v>0.06</v>
      </c>
      <c r="L14" s="3">
        <v>0.2</v>
      </c>
      <c r="M14" s="3">
        <v>-0.4</v>
      </c>
      <c r="N14" s="3">
        <v>-0.6</v>
      </c>
      <c r="O14" s="3">
        <v>-0.9</v>
      </c>
      <c r="P14" s="2"/>
      <c r="R14" s="2" t="s">
        <v>41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2026-09-15T01:45:11Z</dcterms:created>
  <dcterms:modified xsi:type="dcterms:W3CDTF">2026-09-26T19:16:39Z</dcterms:modified>
</cp:coreProperties>
</file>